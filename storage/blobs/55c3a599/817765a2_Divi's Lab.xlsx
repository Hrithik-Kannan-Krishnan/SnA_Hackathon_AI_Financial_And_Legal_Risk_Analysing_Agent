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D9EA1A8-2482-420D-B9F8-DAF975BBA2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B5" i="1"/>
  <c r="C5" i="1"/>
  <c r="B6" i="6"/>
  <c r="C17" i="2"/>
  <c r="D17" i="2"/>
  <c r="E17" i="2"/>
  <c r="F17" i="2"/>
  <c r="F20" i="2" s="1"/>
  <c r="C18" i="2"/>
  <c r="D18" i="2"/>
  <c r="E18" i="2"/>
  <c r="F18" i="2"/>
  <c r="F21" i="2" s="1"/>
  <c r="B17" i="2"/>
  <c r="C4" i="2"/>
  <c r="C23" i="2" s="1"/>
  <c r="D4" i="2"/>
  <c r="E4" i="2"/>
  <c r="E5" i="2"/>
  <c r="F4" i="2"/>
  <c r="C5" i="2"/>
  <c r="D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C16" i="2" s="1"/>
  <c r="D13" i="2"/>
  <c r="E13" i="2"/>
  <c r="F13" i="2"/>
  <c r="F16" i="2" s="1"/>
  <c r="C14" i="2"/>
  <c r="D14" i="2"/>
  <c r="E14" i="2"/>
  <c r="F14" i="2"/>
  <c r="B14" i="2"/>
  <c r="B5" i="2"/>
  <c r="B23" i="2" s="1"/>
  <c r="B4" i="2"/>
  <c r="C4" i="4"/>
  <c r="D4" i="4"/>
  <c r="E4" i="4"/>
  <c r="F4" i="4"/>
  <c r="C5" i="4"/>
  <c r="D5" i="4"/>
  <c r="E5" i="4"/>
  <c r="F5" i="4"/>
  <c r="C6" i="4"/>
  <c r="D6" i="4"/>
  <c r="E6" i="4"/>
  <c r="F6" i="4"/>
  <c r="C7" i="4"/>
  <c r="D7" i="4"/>
  <c r="E7" i="4"/>
  <c r="F7" i="4"/>
  <c r="C4" i="3"/>
  <c r="C14" i="3" s="1"/>
  <c r="D4" i="3"/>
  <c r="E4" i="3"/>
  <c r="E14" i="3" s="1"/>
  <c r="F4" i="3"/>
  <c r="G4" i="3"/>
  <c r="H4" i="3"/>
  <c r="D4" i="1" s="1"/>
  <c r="I4" i="3"/>
  <c r="I14" i="3" s="1"/>
  <c r="J4" i="3"/>
  <c r="K4" i="3"/>
  <c r="C5" i="3"/>
  <c r="D5" i="3"/>
  <c r="E5" i="3"/>
  <c r="F5" i="3"/>
  <c r="G5" i="3"/>
  <c r="H5" i="3"/>
  <c r="D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D10" i="1" s="1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B18" i="1"/>
  <c r="C18" i="1"/>
  <c r="D20" i="2"/>
  <c r="B4" i="1"/>
  <c r="E21" i="2" s="1"/>
  <c r="C4" i="1"/>
  <c r="B7" i="1"/>
  <c r="C7" i="1"/>
  <c r="B8" i="1"/>
  <c r="C8" i="1"/>
  <c r="B9" i="1"/>
  <c r="C9" i="1"/>
  <c r="B10" i="1"/>
  <c r="C10" i="1"/>
  <c r="B11" i="1"/>
  <c r="C11" i="1"/>
  <c r="B12" i="1"/>
  <c r="B13" i="1" s="1"/>
  <c r="C12" i="1"/>
  <c r="C13" i="1" s="1"/>
  <c r="B15" i="1"/>
  <c r="C15" i="1"/>
  <c r="A1" i="1"/>
  <c r="A1" i="3" s="1"/>
  <c r="E1" i="6"/>
  <c r="C3" i="4"/>
  <c r="D3" i="4"/>
  <c r="E3" i="4"/>
  <c r="F3" i="4"/>
  <c r="C3" i="2"/>
  <c r="D3" i="2"/>
  <c r="E3" i="2"/>
  <c r="F3" i="2"/>
  <c r="C3" i="3"/>
  <c r="D3" i="3"/>
  <c r="E3" i="3"/>
  <c r="F3" i="3"/>
  <c r="G3" i="3"/>
  <c r="H3" i="3"/>
  <c r="I3" i="3"/>
  <c r="J3" i="3"/>
  <c r="K3" i="3"/>
  <c r="B3" i="1"/>
  <c r="C3" i="1"/>
  <c r="B7" i="4"/>
  <c r="B6" i="4"/>
  <c r="B5" i="4"/>
  <c r="B4" i="4"/>
  <c r="B3" i="4"/>
  <c r="D21" i="2"/>
  <c r="C21" i="2"/>
  <c r="B18" i="2"/>
  <c r="B21" i="2" s="1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D15" i="1"/>
  <c r="G14" i="3"/>
  <c r="C20" i="2"/>
  <c r="D12" i="1"/>
  <c r="D13" i="1" s="1"/>
  <c r="D14" i="1" s="1"/>
  <c r="D11" i="1"/>
  <c r="D6" i="1"/>
  <c r="A1" i="2"/>
  <c r="A1" i="4" s="1"/>
  <c r="D16" i="2" l="1"/>
  <c r="B16" i="2"/>
  <c r="C14" i="1"/>
  <c r="E20" i="2"/>
  <c r="F23" i="2"/>
  <c r="B14" i="1"/>
  <c r="B6" i="1"/>
  <c r="B19" i="1" s="1"/>
  <c r="D19" i="1"/>
  <c r="D14" i="3"/>
  <c r="E16" i="2"/>
  <c r="D24" i="2"/>
  <c r="C24" i="2"/>
  <c r="C6" i="1"/>
  <c r="C19" i="1" s="1"/>
  <c r="D9" i="1"/>
  <c r="D7" i="1"/>
  <c r="E23" i="2"/>
  <c r="E1" i="3"/>
  <c r="K14" i="3"/>
  <c r="F24" i="2"/>
  <c r="D8" i="1"/>
  <c r="D23" i="2"/>
  <c r="E24" i="2"/>
  <c r="B20" i="2"/>
</calcChain>
</file>

<file path=xl/sharedStrings.xml><?xml version="1.0" encoding="utf-8"?>
<sst xmlns="http://schemas.openxmlformats.org/spreadsheetml/2006/main" count="131" uniqueCount="81">
  <si>
    <t>COMPANY NAME</t>
  </si>
  <si>
    <t>SCREENER.IN</t>
  </si>
  <si>
    <t>Narration</t>
  </si>
  <si>
    <t>Trailing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</si>
  <si>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</si>
  <si>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</si>
  <si>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</si>
  <si>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</si>
  <si>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</si>
  <si>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</si>
  <si>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</si>
  <si>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</si>
  <si>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</si>
  <si>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</si>
  <si>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</si>
  <si>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</si>
  <si>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</si>
  <si>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</si>
  <si>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</si>
  <si>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</si>
  <si>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</si>
  <si>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</si>
  <si>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</si>
  <si>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</si>
  <si>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</si>
  <si>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</si>
  <si>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</si>
  <si>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</si>
  <si>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</si>
  <si>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</si>
  <si>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</si>
  <si>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</si>
  <si>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</si>
  <si>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</si>
  <si>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</si>
  <si>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</si>
  <si>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</si>
  <si>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</si>
  <si>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</si>
  <si>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</si>
  <si>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</si>
  <si>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</si>
  <si>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</si>
  <si>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</si>
  <si>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</si>
  <si>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</si>
  <si>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</si>
  <si>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</si>
  <si>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</si>
  <si>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</si>
  <si>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</si>
  <si>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</si>
  <si>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</si>
  <si>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</si>
  <si>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</si>
  <si>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</si>
  <si>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DIVIS LABORATORIES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</si>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</sst>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1" fillId="0" borderId="0" xfId="4" applyFont="1" applyBorder="1"/>
    <xf numFmtId="0" fontId="2" fillId="3" borderId="0" xfId="0" applyFont="1" applyFill="1"/>
    <xf numFmtId="165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65" fontId="2" fillId="3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9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D19" headerRowCount="0" totalsRowShown="0" headerRowDxfId="18">
  <tableColumns count="4">
    <tableColumn id="1" xr3:uid="{00000000-0010-0000-0000-000001000000}" name="Column1" headerRowDxfId="17" dataDxfId="16"/>
    <tableColumn id="10" xr3:uid="{00000000-0010-0000-0000-00000A000000}" name="Column10" headerRowDxfId="15"/>
    <tableColumn id="11" xr3:uid="{00000000-0010-0000-0000-00000B000000}" name="Column11" headerRowDxfId="14"/>
    <tableColumn id="12" xr3:uid="{00000000-0010-0000-0000-00000C000000}" name="Column12" headerRow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D24"/>
  <sheetViews>
    <sheetView tabSelected="1" zoomScale="86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A22" sqref="A22:XFD22"/>
    </sheetView>
  </sheetViews>
  <sheetFormatPr defaultColWidth="8.77734375" defaultRowHeight="14.4" x14ac:dyDescent="0.3"/>
  <cols>
    <col min="1" max="1" width="20.6640625" customWidth="1"/>
    <col min="2" max="3" width="13.44140625" customWidth="1"/>
    <col min="4" max="4" width="13.33203125" customWidth="1"/>
  </cols>
  <sheetData>
    <row r="1" spans="1:4" s="2" customFormat="1" x14ac:dyDescent="0.3">
      <c r="A1" s="2" t="str">
        <f>'Data Sheet'!B1</f>
        <v>DIVIS LABORATORIES LTD</v>
      </c>
      <c r="B1" s="3"/>
      <c r="C1" s="3"/>
    </row>
    <row r="3" spans="1:4" s="2" customFormat="1" x14ac:dyDescent="0.3">
      <c r="A3" s="8" t="s">
        <v>2</v>
      </c>
      <c r="B3" s="9">
        <f>'Data Sheet'!J16</f>
        <v>45382</v>
      </c>
      <c r="C3" s="9">
        <f>'Data Sheet'!K16</f>
        <v>45747</v>
      </c>
      <c r="D3" s="10" t="s">
        <v>3</v>
      </c>
    </row>
    <row r="4" spans="1:4" s="2" customFormat="1" x14ac:dyDescent="0.3">
      <c r="A4" s="2" t="s">
        <v>4</v>
      </c>
      <c r="B4" s="1">
        <f>'Data Sheet'!J17</f>
        <v>7665</v>
      </c>
      <c r="C4" s="1">
        <f>'Data Sheet'!K17</f>
        <v>9198</v>
      </c>
      <c r="D4" s="1">
        <f>SUM(Quarters!H4:K4)</f>
        <v>9850</v>
      </c>
    </row>
    <row r="5" spans="1:4" x14ac:dyDescent="0.3">
      <c r="A5" t="s">
        <v>5</v>
      </c>
      <c r="B5" s="6">
        <f>SUM('Data Sheet'!J18,'Data Sheet'!J20:J24, -1*'Data Sheet'!J19)</f>
        <v>5486</v>
      </c>
      <c r="C5" s="6">
        <f>SUM('Data Sheet'!K18,'Data Sheet'!K20:K24, -1*'Data Sheet'!K19)</f>
        <v>6214</v>
      </c>
      <c r="D5" s="6">
        <f>SUM(Quarters!H5:K5)</f>
        <v>6584</v>
      </c>
    </row>
    <row r="6" spans="1:4" s="2" customFormat="1" x14ac:dyDescent="0.3">
      <c r="A6" s="2" t="s">
        <v>6</v>
      </c>
      <c r="B6" s="1">
        <f t="shared" ref="B6:C6" si="0">B4-B5</f>
        <v>2179</v>
      </c>
      <c r="C6" s="1">
        <f t="shared" si="0"/>
        <v>2984</v>
      </c>
      <c r="D6" s="1">
        <f>SUM(Quarters!H6:K6)</f>
        <v>3266</v>
      </c>
    </row>
    <row r="7" spans="1:4" x14ac:dyDescent="0.3">
      <c r="A7" t="s">
        <v>7</v>
      </c>
      <c r="B7" s="6">
        <f>'Data Sheet'!J25</f>
        <v>333</v>
      </c>
      <c r="C7" s="6">
        <f>'Data Sheet'!K25</f>
        <v>348</v>
      </c>
      <c r="D7" s="6">
        <f>SUM(Quarters!H7:K7)</f>
        <v>434</v>
      </c>
    </row>
    <row r="8" spans="1:4" x14ac:dyDescent="0.3">
      <c r="A8" t="s">
        <v>8</v>
      </c>
      <c r="B8" s="6">
        <f>'Data Sheet'!J26</f>
        <v>376</v>
      </c>
      <c r="C8" s="6">
        <f>'Data Sheet'!K26</f>
        <v>401</v>
      </c>
      <c r="D8" s="6">
        <f>SUM(Quarters!H8:K8)</f>
        <v>431</v>
      </c>
    </row>
    <row r="9" spans="1:4" x14ac:dyDescent="0.3">
      <c r="A9" t="s">
        <v>9</v>
      </c>
      <c r="B9" s="6">
        <f>'Data Sheet'!J27</f>
        <v>4</v>
      </c>
      <c r="C9" s="6">
        <f>'Data Sheet'!K27</f>
        <v>2</v>
      </c>
      <c r="D9" s="6">
        <f>SUM(Quarters!H9:K9)</f>
        <v>11</v>
      </c>
    </row>
    <row r="10" spans="1:4" x14ac:dyDescent="0.3">
      <c r="A10" t="s">
        <v>10</v>
      </c>
      <c r="B10" s="6">
        <f>'Data Sheet'!J28</f>
        <v>2132</v>
      </c>
      <c r="C10" s="6">
        <f>'Data Sheet'!K28</f>
        <v>2929</v>
      </c>
      <c r="D10" s="6">
        <f>SUM(Quarters!H10:K10)</f>
        <v>3258</v>
      </c>
    </row>
    <row r="11" spans="1:4" x14ac:dyDescent="0.3">
      <c r="A11" t="s">
        <v>11</v>
      </c>
      <c r="B11" s="6">
        <f>'Data Sheet'!J29</f>
        <v>556</v>
      </c>
      <c r="C11" s="6">
        <f>'Data Sheet'!K29</f>
        <v>720</v>
      </c>
      <c r="D11" s="6">
        <f>SUM(Quarters!H11:K11)</f>
        <v>744</v>
      </c>
    </row>
    <row r="12" spans="1:4" s="2" customFormat="1" x14ac:dyDescent="0.3">
      <c r="A12" s="2" t="s">
        <v>12</v>
      </c>
      <c r="B12" s="1">
        <f>'Data Sheet'!J30</f>
        <v>1576</v>
      </c>
      <c r="C12" s="1">
        <f>'Data Sheet'!K30</f>
        <v>2209</v>
      </c>
      <c r="D12" s="1">
        <f>SUM(Quarters!H12:K12)</f>
        <v>2514</v>
      </c>
    </row>
    <row r="13" spans="1:4" x14ac:dyDescent="0.3">
      <c r="A13" t="s">
        <v>50</v>
      </c>
      <c r="B13" s="6">
        <f>IF('Data Sheet'!J93&gt;0,B12/'Data Sheet'!J93,0)</f>
        <v>59.359698681732581</v>
      </c>
      <c r="C13" s="6">
        <f>IF('Data Sheet'!K93&gt;0,C12/'Data Sheet'!K93,0)</f>
        <v>83.201506591337093</v>
      </c>
      <c r="D13" s="6">
        <f>IF('Data Sheet'!$B6&gt;0,'Profit &amp; Loss'!D12/'Data Sheet'!$B6,0)</f>
        <v>94.700470471249517</v>
      </c>
    </row>
    <row r="14" spans="1:4" x14ac:dyDescent="0.3">
      <c r="A14" t="s">
        <v>14</v>
      </c>
      <c r="B14" s="6">
        <f t="shared" ref="B14:C14" si="1">IF(B15&gt;0,B15/B13,"")</f>
        <v>58.041062817258883</v>
      </c>
      <c r="C14" s="6">
        <f t="shared" si="1"/>
        <v>69.415209370756003</v>
      </c>
      <c r="D14" s="6">
        <f t="shared" ref="D14" si="2">IF(D13&gt;0,D15/D13,0)</f>
        <v>69.867657120127291</v>
      </c>
    </row>
    <row r="15" spans="1:4" s="2" customFormat="1" x14ac:dyDescent="0.3">
      <c r="A15" s="2" t="s">
        <v>51</v>
      </c>
      <c r="B15" s="1">
        <f>'Data Sheet'!J90</f>
        <v>3445.3</v>
      </c>
      <c r="C15" s="1">
        <f>'Data Sheet'!K90</f>
        <v>5775.45</v>
      </c>
      <c r="D15" s="1">
        <f>'Data Sheet'!B8</f>
        <v>6616.5</v>
      </c>
    </row>
    <row r="17" spans="1:4" s="2" customFormat="1" x14ac:dyDescent="0.3">
      <c r="A17" s="2" t="s">
        <v>13</v>
      </c>
    </row>
    <row r="18" spans="1:4" x14ac:dyDescent="0.3">
      <c r="A18" t="s">
        <v>15</v>
      </c>
      <c r="B18" s="5">
        <f>IF('Data Sheet'!J30&gt;0, 'Data Sheet'!J31/'Data Sheet'!J30, 0)</f>
        <v>0.50444162436548223</v>
      </c>
      <c r="C18" s="5">
        <f>IF('Data Sheet'!K30&gt;0, 'Data Sheet'!K31/'Data Sheet'!K30, 0)</f>
        <v>0.35989135355364416</v>
      </c>
    </row>
    <row r="19" spans="1:4" x14ac:dyDescent="0.3">
      <c r="A19" t="s">
        <v>16</v>
      </c>
      <c r="B19" s="5">
        <f t="shared" ref="B19:C19" si="3">IF(B6&gt;0,B6/B4,0)</f>
        <v>0.28427919112850619</v>
      </c>
      <c r="C19" s="5">
        <f t="shared" si="3"/>
        <v>0.32441835181561207</v>
      </c>
      <c r="D19" s="5">
        <f t="shared" ref="D19" si="4">IF(D6&gt;0,D6/D4,0)</f>
        <v>0.33157360406091368</v>
      </c>
    </row>
    <row r="20" spans="1:4" x14ac:dyDescent="0.3">
      <c r="B20" s="5"/>
      <c r="C20" s="5"/>
      <c r="D20" s="5"/>
    </row>
    <row r="21" spans="1:4" x14ac:dyDescent="0.3">
      <c r="B21" s="5"/>
      <c r="C21" s="5"/>
      <c r="D21" s="5"/>
    </row>
    <row r="22" spans="1:4" s="2" customFormat="1" x14ac:dyDescent="0.3">
      <c r="A22"/>
      <c r="B22" s="5"/>
      <c r="C22" s="5"/>
      <c r="D22" s="5"/>
    </row>
    <row r="23" spans="1:4" x14ac:dyDescent="0.3">
      <c r="B23" s="5"/>
      <c r="C23" s="5"/>
      <c r="D23" s="5"/>
    </row>
    <row r="24" spans="1:4" x14ac:dyDescent="0.3">
      <c r="B24" s="6"/>
      <c r="C24" s="6"/>
      <c r="D24" s="6"/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DIVIS LABORATORIES LTD</v>
      </c>
      <c r="E1" t="str">
        <f>UPDATE</f>
        <v/>
      </c>
      <c r="J1" s="2" t="s">
        <v>1</v>
      </c>
    </row>
    <row r="3" spans="1:11" s="2" customFormat="1" x14ac:dyDescent="0.3">
      <c r="A3" s="8" t="s">
        <v>2</v>
      </c>
      <c r="B3" s="9">
        <f>'Data Sheet'!B41</f>
        <v>45107</v>
      </c>
      <c r="C3" s="9">
        <f>'Data Sheet'!C41</f>
        <v>45199</v>
      </c>
      <c r="D3" s="9">
        <f>'Data Sheet'!D41</f>
        <v>45291</v>
      </c>
      <c r="E3" s="9">
        <f>'Data Sheet'!E41</f>
        <v>45382</v>
      </c>
      <c r="F3" s="9">
        <f>'Data Sheet'!F41</f>
        <v>45473</v>
      </c>
      <c r="G3" s="9">
        <f>'Data Sheet'!G41</f>
        <v>45565</v>
      </c>
      <c r="H3" s="9">
        <f>'Data Sheet'!H41</f>
        <v>45657</v>
      </c>
      <c r="I3" s="9">
        <f>'Data Sheet'!I41</f>
        <v>45747</v>
      </c>
      <c r="J3" s="9">
        <f>'Data Sheet'!J41</f>
        <v>45838</v>
      </c>
      <c r="K3" s="9">
        <f>'Data Sheet'!K41</f>
        <v>45930</v>
      </c>
    </row>
    <row r="4" spans="1:11" s="2" customFormat="1" x14ac:dyDescent="0.3">
      <c r="A4" s="2" t="s">
        <v>4</v>
      </c>
      <c r="B4" s="1">
        <f>'Data Sheet'!B42</f>
        <v>1730</v>
      </c>
      <c r="C4" s="1">
        <f>'Data Sheet'!C42</f>
        <v>1868</v>
      </c>
      <c r="D4" s="1">
        <f>'Data Sheet'!D42</f>
        <v>1808</v>
      </c>
      <c r="E4" s="1">
        <f>'Data Sheet'!E42</f>
        <v>2259</v>
      </c>
      <c r="F4" s="1">
        <f>'Data Sheet'!F42</f>
        <v>2063</v>
      </c>
      <c r="G4" s="1">
        <f>'Data Sheet'!G42</f>
        <v>2302</v>
      </c>
      <c r="H4" s="1">
        <f>'Data Sheet'!H42</f>
        <v>2297</v>
      </c>
      <c r="I4" s="1">
        <f>'Data Sheet'!I42</f>
        <v>2536</v>
      </c>
      <c r="J4" s="1">
        <f>'Data Sheet'!J42</f>
        <v>2357</v>
      </c>
      <c r="K4" s="1">
        <f>'Data Sheet'!K42</f>
        <v>2660</v>
      </c>
    </row>
    <row r="5" spans="1:11" x14ac:dyDescent="0.3">
      <c r="A5" t="s">
        <v>5</v>
      </c>
      <c r="B5" s="6">
        <f>'Data Sheet'!B43</f>
        <v>1239</v>
      </c>
      <c r="C5" s="6">
        <f>'Data Sheet'!C43</f>
        <v>1394</v>
      </c>
      <c r="D5" s="6">
        <f>'Data Sheet'!D43</f>
        <v>1317</v>
      </c>
      <c r="E5" s="6">
        <f>'Data Sheet'!E43</f>
        <v>1542</v>
      </c>
      <c r="F5" s="6">
        <f>'Data Sheet'!F43</f>
        <v>1442</v>
      </c>
      <c r="G5" s="6">
        <f>'Data Sheet'!G43</f>
        <v>1573</v>
      </c>
      <c r="H5" s="6">
        <f>'Data Sheet'!H43</f>
        <v>1550</v>
      </c>
      <c r="I5" s="6">
        <f>'Data Sheet'!I43</f>
        <v>1655</v>
      </c>
      <c r="J5" s="6">
        <f>'Data Sheet'!J43</f>
        <v>1614</v>
      </c>
      <c r="K5" s="6">
        <f>'Data Sheet'!K43</f>
        <v>1765</v>
      </c>
    </row>
    <row r="6" spans="1:11" s="2" customFormat="1" x14ac:dyDescent="0.3">
      <c r="A6" s="2" t="s">
        <v>6</v>
      </c>
      <c r="B6" s="1">
        <f>'Data Sheet'!B50</f>
        <v>491</v>
      </c>
      <c r="C6" s="1">
        <f>'Data Sheet'!C50</f>
        <v>474</v>
      </c>
      <c r="D6" s="1">
        <f>'Data Sheet'!D50</f>
        <v>491</v>
      </c>
      <c r="E6" s="1">
        <f>'Data Sheet'!E50</f>
        <v>717</v>
      </c>
      <c r="F6" s="1">
        <f>'Data Sheet'!F50</f>
        <v>621</v>
      </c>
      <c r="G6" s="1">
        <f>'Data Sheet'!G50</f>
        <v>729</v>
      </c>
      <c r="H6" s="1">
        <f>'Data Sheet'!H50</f>
        <v>747</v>
      </c>
      <c r="I6" s="1">
        <f>'Data Sheet'!I50</f>
        <v>881</v>
      </c>
      <c r="J6" s="1">
        <f>'Data Sheet'!J50</f>
        <v>743</v>
      </c>
      <c r="K6" s="1">
        <f>'Data Sheet'!K50</f>
        <v>895</v>
      </c>
    </row>
    <row r="7" spans="1:11" x14ac:dyDescent="0.3">
      <c r="A7" t="s">
        <v>7</v>
      </c>
      <c r="B7" s="6">
        <f>'Data Sheet'!B44</f>
        <v>80</v>
      </c>
      <c r="C7" s="6">
        <f>'Data Sheet'!C44</f>
        <v>85</v>
      </c>
      <c r="D7" s="6">
        <f>'Data Sheet'!D44</f>
        <v>94</v>
      </c>
      <c r="E7" s="6">
        <f>'Data Sheet'!E44</f>
        <v>79</v>
      </c>
      <c r="F7" s="6">
        <f>'Data Sheet'!F44</f>
        <v>79</v>
      </c>
      <c r="G7" s="6">
        <f>'Data Sheet'!G44</f>
        <v>105</v>
      </c>
      <c r="H7" s="6">
        <f>'Data Sheet'!H44</f>
        <v>82</v>
      </c>
      <c r="I7" s="6">
        <f>'Data Sheet'!I44</f>
        <v>87</v>
      </c>
      <c r="J7" s="6">
        <f>'Data Sheet'!J44</f>
        <v>119</v>
      </c>
      <c r="K7" s="6">
        <f>'Data Sheet'!K44</f>
        <v>146</v>
      </c>
    </row>
    <row r="8" spans="1:11" x14ac:dyDescent="0.3">
      <c r="A8" t="s">
        <v>8</v>
      </c>
      <c r="B8" s="6">
        <f>'Data Sheet'!B45</f>
        <v>93</v>
      </c>
      <c r="C8" s="6">
        <f>'Data Sheet'!C45</f>
        <v>94</v>
      </c>
      <c r="D8" s="6">
        <f>'Data Sheet'!D45</f>
        <v>95</v>
      </c>
      <c r="E8" s="6">
        <f>'Data Sheet'!E45</f>
        <v>94</v>
      </c>
      <c r="F8" s="6">
        <f>'Data Sheet'!F45</f>
        <v>97</v>
      </c>
      <c r="G8" s="6">
        <f>'Data Sheet'!G45</f>
        <v>98</v>
      </c>
      <c r="H8" s="6">
        <f>'Data Sheet'!H45</f>
        <v>99</v>
      </c>
      <c r="I8" s="6">
        <f>'Data Sheet'!I45</f>
        <v>107</v>
      </c>
      <c r="J8" s="6">
        <f>'Data Sheet'!J45</f>
        <v>112</v>
      </c>
      <c r="K8" s="6">
        <f>'Data Sheet'!K45</f>
        <v>113</v>
      </c>
    </row>
    <row r="9" spans="1:11" x14ac:dyDescent="0.3">
      <c r="A9" t="s">
        <v>9</v>
      </c>
      <c r="B9" s="6">
        <f>'Data Sheet'!B46</f>
        <v>0</v>
      </c>
      <c r="C9" s="6">
        <f>'Data Sheet'!C46</f>
        <v>1</v>
      </c>
      <c r="D9" s="6">
        <f>'Data Sheet'!D46</f>
        <v>0</v>
      </c>
      <c r="E9" s="6">
        <f>'Data Sheet'!E46</f>
        <v>2</v>
      </c>
      <c r="F9" s="6">
        <f>'Data Sheet'!F46</f>
        <v>0</v>
      </c>
      <c r="G9" s="6">
        <f>'Data Sheet'!G46</f>
        <v>1</v>
      </c>
      <c r="H9" s="6">
        <f>'Data Sheet'!H46</f>
        <v>0</v>
      </c>
      <c r="I9" s="6">
        <f>'Data Sheet'!I46</f>
        <v>0</v>
      </c>
      <c r="J9" s="6">
        <f>'Data Sheet'!J46</f>
        <v>3</v>
      </c>
      <c r="K9" s="6">
        <f>'Data Sheet'!K46</f>
        <v>8</v>
      </c>
    </row>
    <row r="10" spans="1:11" x14ac:dyDescent="0.3">
      <c r="A10" t="s">
        <v>10</v>
      </c>
      <c r="B10" s="6">
        <f>'Data Sheet'!B47</f>
        <v>478</v>
      </c>
      <c r="C10" s="6">
        <f>'Data Sheet'!C47</f>
        <v>464</v>
      </c>
      <c r="D10" s="6">
        <f>'Data Sheet'!D47</f>
        <v>490</v>
      </c>
      <c r="E10" s="6">
        <f>'Data Sheet'!E47</f>
        <v>700</v>
      </c>
      <c r="F10" s="6">
        <f>'Data Sheet'!F47</f>
        <v>603</v>
      </c>
      <c r="G10" s="6">
        <f>'Data Sheet'!G47</f>
        <v>735</v>
      </c>
      <c r="H10" s="6">
        <f>'Data Sheet'!H47</f>
        <v>730</v>
      </c>
      <c r="I10" s="6">
        <f>'Data Sheet'!I47</f>
        <v>861</v>
      </c>
      <c r="J10" s="6">
        <f>'Data Sheet'!J47</f>
        <v>747</v>
      </c>
      <c r="K10" s="6">
        <f>'Data Sheet'!K47</f>
        <v>920</v>
      </c>
    </row>
    <row r="11" spans="1:11" x14ac:dyDescent="0.3">
      <c r="A11" t="s">
        <v>11</v>
      </c>
      <c r="B11" s="6">
        <f>'Data Sheet'!B48</f>
        <v>133</v>
      </c>
      <c r="C11" s="6">
        <f>'Data Sheet'!C48</f>
        <v>122</v>
      </c>
      <c r="D11" s="6">
        <f>'Data Sheet'!D48</f>
        <v>132</v>
      </c>
      <c r="E11" s="6">
        <f>'Data Sheet'!E48</f>
        <v>169</v>
      </c>
      <c r="F11" s="6">
        <f>'Data Sheet'!F48</f>
        <v>173</v>
      </c>
      <c r="G11" s="6">
        <f>'Data Sheet'!G48</f>
        <v>217</v>
      </c>
      <c r="H11" s="6">
        <f>'Data Sheet'!H48</f>
        <v>136</v>
      </c>
      <c r="I11" s="6">
        <f>'Data Sheet'!I48</f>
        <v>194</v>
      </c>
      <c r="J11" s="6">
        <f>'Data Sheet'!J48</f>
        <v>190</v>
      </c>
      <c r="K11" s="6">
        <f>'Data Sheet'!K48</f>
        <v>224</v>
      </c>
    </row>
    <row r="12" spans="1:11" s="2" customFormat="1" x14ac:dyDescent="0.3">
      <c r="A12" s="2" t="s">
        <v>12</v>
      </c>
      <c r="B12" s="1">
        <f>'Data Sheet'!B49</f>
        <v>345</v>
      </c>
      <c r="C12" s="1">
        <f>'Data Sheet'!C49</f>
        <v>342</v>
      </c>
      <c r="D12" s="1">
        <f>'Data Sheet'!D49</f>
        <v>358</v>
      </c>
      <c r="E12" s="1">
        <f>'Data Sheet'!E49</f>
        <v>531</v>
      </c>
      <c r="F12" s="1">
        <f>'Data Sheet'!F49</f>
        <v>430</v>
      </c>
      <c r="G12" s="1">
        <f>'Data Sheet'!G49</f>
        <v>518</v>
      </c>
      <c r="H12" s="1">
        <f>'Data Sheet'!H49</f>
        <v>594</v>
      </c>
      <c r="I12" s="1">
        <f>'Data Sheet'!I49</f>
        <v>667</v>
      </c>
      <c r="J12" s="1">
        <f>'Data Sheet'!J49</f>
        <v>557</v>
      </c>
      <c r="K12" s="1">
        <f>'Data Sheet'!K49</f>
        <v>696</v>
      </c>
    </row>
    <row r="14" spans="1:11" s="2" customFormat="1" x14ac:dyDescent="0.3">
      <c r="A14" s="2" t="s">
        <v>16</v>
      </c>
      <c r="B14" s="7">
        <f>IF(B4&gt;0,B6/B4,"")</f>
        <v>0.2838150289017341</v>
      </c>
      <c r="C14" s="7">
        <f t="shared" ref="C14:K14" si="0">IF(C4&gt;0,C6/C4,"")</f>
        <v>0.25374732334047106</v>
      </c>
      <c r="D14" s="7">
        <f t="shared" si="0"/>
        <v>0.27157079646017701</v>
      </c>
      <c r="E14" s="7">
        <f t="shared" si="0"/>
        <v>0.31739707835325365</v>
      </c>
      <c r="F14" s="7">
        <f t="shared" si="0"/>
        <v>0.30101793504604946</v>
      </c>
      <c r="G14" s="7">
        <f t="shared" si="0"/>
        <v>0.31668114682884446</v>
      </c>
      <c r="H14" s="7">
        <f t="shared" si="0"/>
        <v>0.32520679146713105</v>
      </c>
      <c r="I14" s="7">
        <f t="shared" si="0"/>
        <v>0.34739747634069401</v>
      </c>
      <c r="J14" s="7">
        <f t="shared" si="0"/>
        <v>0.31523122613491728</v>
      </c>
      <c r="K14" s="7">
        <f t="shared" si="0"/>
        <v>0.33646616541353386</v>
      </c>
    </row>
    <row r="22" s="19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E1" sqref="E1:I1048576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6" width="15.44140625" customWidth="1"/>
  </cols>
  <sheetData>
    <row r="1" spans="1:6" s="2" customFormat="1" x14ac:dyDescent="0.3">
      <c r="A1" s="2" t="str">
        <f>'Profit &amp; Loss'!A1</f>
        <v>DIVIS LABORATORIES LTD</v>
      </c>
      <c r="E1" s="2" t="s">
        <v>1</v>
      </c>
    </row>
    <row r="3" spans="1:6" x14ac:dyDescent="0.3">
      <c r="A3" s="8" t="s">
        <v>2</v>
      </c>
      <c r="B3" s="9">
        <f>'Data Sheet'!B56</f>
        <v>42460</v>
      </c>
      <c r="C3" s="9">
        <f>'Data Sheet'!C56</f>
        <v>42825</v>
      </c>
      <c r="D3" s="9">
        <f>'Data Sheet'!D56</f>
        <v>43190</v>
      </c>
      <c r="E3" s="9">
        <f>'Data Sheet'!J56</f>
        <v>45382</v>
      </c>
      <c r="F3" s="9">
        <f>'Data Sheet'!K56</f>
        <v>45747</v>
      </c>
    </row>
    <row r="4" spans="1:6" x14ac:dyDescent="0.3">
      <c r="A4" t="s">
        <v>17</v>
      </c>
      <c r="B4" s="11">
        <f>'Data Sheet'!B57</f>
        <v>53.09</v>
      </c>
      <c r="C4" s="11">
        <f>'Data Sheet'!C57</f>
        <v>53.09</v>
      </c>
      <c r="D4" s="11">
        <f>'Data Sheet'!D57</f>
        <v>53.09</v>
      </c>
      <c r="E4" s="11">
        <f>'Data Sheet'!J57</f>
        <v>53</v>
      </c>
      <c r="F4" s="11">
        <f>'Data Sheet'!K57</f>
        <v>53</v>
      </c>
    </row>
    <row r="5" spans="1:6" x14ac:dyDescent="0.3">
      <c r="A5" t="s">
        <v>18</v>
      </c>
      <c r="B5" s="11">
        <f>'Data Sheet'!B58</f>
        <v>4303.95</v>
      </c>
      <c r="C5" s="11">
        <f>'Data Sheet'!C58</f>
        <v>5355.82</v>
      </c>
      <c r="D5" s="11">
        <f>'Data Sheet'!D58</f>
        <v>5906.56</v>
      </c>
      <c r="E5" s="11">
        <f>'Data Sheet'!J58</f>
        <v>13431</v>
      </c>
      <c r="F5" s="11">
        <f>'Data Sheet'!K58</f>
        <v>14842</v>
      </c>
    </row>
    <row r="6" spans="1:6" x14ac:dyDescent="0.3">
      <c r="A6" t="s">
        <v>59</v>
      </c>
      <c r="B6" s="11">
        <f>'Data Sheet'!B59</f>
        <v>42.47</v>
      </c>
      <c r="C6" s="11">
        <f>'Data Sheet'!C59</f>
        <v>35.74</v>
      </c>
      <c r="D6" s="11">
        <f>'Data Sheet'!D59</f>
        <v>63.11</v>
      </c>
      <c r="E6" s="11">
        <f>'Data Sheet'!J59</f>
        <v>0</v>
      </c>
      <c r="F6" s="11">
        <f>'Data Sheet'!K59</f>
        <v>2</v>
      </c>
    </row>
    <row r="7" spans="1:6" x14ac:dyDescent="0.3">
      <c r="A7" t="s">
        <v>60</v>
      </c>
      <c r="B7" s="11">
        <f>'Data Sheet'!B60</f>
        <v>565.98</v>
      </c>
      <c r="C7" s="11">
        <f>'Data Sheet'!C60</f>
        <v>765.43</v>
      </c>
      <c r="D7" s="11">
        <f>'Data Sheet'!D60</f>
        <v>785.02</v>
      </c>
      <c r="E7" s="11">
        <f>'Data Sheet'!J60</f>
        <v>1878</v>
      </c>
      <c r="F7" s="11">
        <f>'Data Sheet'!K60</f>
        <v>1927</v>
      </c>
    </row>
    <row r="8" spans="1:6" s="2" customFormat="1" x14ac:dyDescent="0.3">
      <c r="A8" s="2" t="s">
        <v>19</v>
      </c>
      <c r="B8" s="12">
        <f>'Data Sheet'!B61</f>
        <v>4965.49</v>
      </c>
      <c r="C8" s="12">
        <f>'Data Sheet'!C61</f>
        <v>6210.08</v>
      </c>
      <c r="D8" s="12">
        <f>'Data Sheet'!D61</f>
        <v>6807.78</v>
      </c>
      <c r="E8" s="12">
        <f>'Data Sheet'!J61</f>
        <v>15362</v>
      </c>
      <c r="F8" s="12">
        <f>'Data Sheet'!K61</f>
        <v>16824</v>
      </c>
    </row>
    <row r="9" spans="1:6" s="2" customFormat="1" x14ac:dyDescent="0.3">
      <c r="B9" s="12"/>
      <c r="C9" s="12"/>
      <c r="D9" s="12"/>
      <c r="E9" s="12"/>
      <c r="F9" s="12"/>
    </row>
    <row r="10" spans="1:6" x14ac:dyDescent="0.3">
      <c r="A10" t="s">
        <v>20</v>
      </c>
      <c r="B10" s="11">
        <f>'Data Sheet'!B62</f>
        <v>1438.64</v>
      </c>
      <c r="C10" s="11">
        <f>'Data Sheet'!C62</f>
        <v>1558.95</v>
      </c>
      <c r="D10" s="11">
        <f>'Data Sheet'!D62</f>
        <v>1995.88</v>
      </c>
      <c r="E10" s="11">
        <f>'Data Sheet'!J62</f>
        <v>4737</v>
      </c>
      <c r="F10" s="11">
        <f>'Data Sheet'!K62</f>
        <v>5440</v>
      </c>
    </row>
    <row r="11" spans="1:6" x14ac:dyDescent="0.3">
      <c r="A11" t="s">
        <v>21</v>
      </c>
      <c r="B11" s="11">
        <f>'Data Sheet'!B63</f>
        <v>263.91000000000003</v>
      </c>
      <c r="C11" s="11">
        <f>'Data Sheet'!C63</f>
        <v>443.57</v>
      </c>
      <c r="D11" s="11">
        <f>'Data Sheet'!D63</f>
        <v>119.76</v>
      </c>
      <c r="E11" s="11">
        <f>'Data Sheet'!J63</f>
        <v>778</v>
      </c>
      <c r="F11" s="11">
        <f>'Data Sheet'!K63</f>
        <v>1022</v>
      </c>
    </row>
    <row r="12" spans="1:6" x14ac:dyDescent="0.3">
      <c r="A12" t="s">
        <v>22</v>
      </c>
      <c r="B12" s="11">
        <f>'Data Sheet'!B64</f>
        <v>813.04</v>
      </c>
      <c r="C12" s="11">
        <f>'Data Sheet'!C64</f>
        <v>1639.09</v>
      </c>
      <c r="D12" s="11">
        <f>'Data Sheet'!D64</f>
        <v>1896.66</v>
      </c>
      <c r="E12" s="11">
        <f>'Data Sheet'!J64</f>
        <v>89</v>
      </c>
      <c r="F12" s="11">
        <f>'Data Sheet'!K64</f>
        <v>72</v>
      </c>
    </row>
    <row r="13" spans="1:6" x14ac:dyDescent="0.3">
      <c r="A13" t="s">
        <v>61</v>
      </c>
      <c r="B13" s="11">
        <f>'Data Sheet'!B65</f>
        <v>2449.9</v>
      </c>
      <c r="C13" s="11">
        <f>'Data Sheet'!C65</f>
        <v>2568.4699999999998</v>
      </c>
      <c r="D13" s="11">
        <f>'Data Sheet'!D65</f>
        <v>2795.48</v>
      </c>
      <c r="E13" s="11">
        <f>'Data Sheet'!J65</f>
        <v>9758</v>
      </c>
      <c r="F13" s="11">
        <f>'Data Sheet'!K65</f>
        <v>10290</v>
      </c>
    </row>
    <row r="14" spans="1:6" s="2" customFormat="1" x14ac:dyDescent="0.3">
      <c r="A14" s="2" t="s">
        <v>19</v>
      </c>
      <c r="B14" s="11">
        <f>'Data Sheet'!B66</f>
        <v>4965.49</v>
      </c>
      <c r="C14" s="11">
        <f>'Data Sheet'!C66</f>
        <v>6210.08</v>
      </c>
      <c r="D14" s="11">
        <f>'Data Sheet'!D66</f>
        <v>6807.78</v>
      </c>
      <c r="E14" s="11">
        <f>'Data Sheet'!J66</f>
        <v>15362</v>
      </c>
      <c r="F14" s="11">
        <f>'Data Sheet'!K66</f>
        <v>16824</v>
      </c>
    </row>
    <row r="15" spans="1:6" x14ac:dyDescent="0.3">
      <c r="B15" s="4"/>
      <c r="C15" s="4"/>
      <c r="D15" s="4"/>
      <c r="E15" s="4"/>
      <c r="F15" s="4"/>
    </row>
    <row r="16" spans="1:6" x14ac:dyDescent="0.3">
      <c r="A16" t="s">
        <v>23</v>
      </c>
      <c r="B16" s="4">
        <f>B13-B7</f>
        <v>1883.92</v>
      </c>
      <c r="C16" s="4">
        <f t="shared" ref="C16:F16" si="0">C13-C7</f>
        <v>1803.04</v>
      </c>
      <c r="D16" s="4">
        <f t="shared" si="0"/>
        <v>2010.46</v>
      </c>
      <c r="E16" s="4">
        <f t="shared" si="0"/>
        <v>7880</v>
      </c>
      <c r="F16" s="4">
        <f t="shared" si="0"/>
        <v>8363</v>
      </c>
    </row>
    <row r="17" spans="1:6" x14ac:dyDescent="0.3">
      <c r="A17" t="s">
        <v>37</v>
      </c>
      <c r="B17" s="4">
        <f>'Data Sheet'!B67</f>
        <v>966.12</v>
      </c>
      <c r="C17" s="4">
        <f>'Data Sheet'!C67</f>
        <v>1002.89</v>
      </c>
      <c r="D17" s="4">
        <f>'Data Sheet'!D67</f>
        <v>1112.1099999999999</v>
      </c>
      <c r="E17" s="4">
        <f>'Data Sheet'!J67</f>
        <v>2273</v>
      </c>
      <c r="F17" s="4">
        <f>'Data Sheet'!K67</f>
        <v>2855</v>
      </c>
    </row>
    <row r="18" spans="1:6" x14ac:dyDescent="0.3">
      <c r="A18" t="s">
        <v>38</v>
      </c>
      <c r="B18" s="4">
        <f>'Data Sheet'!B68</f>
        <v>1162.8900000000001</v>
      </c>
      <c r="C18" s="4">
        <f>'Data Sheet'!C68</f>
        <v>1255.76</v>
      </c>
      <c r="D18" s="4">
        <f>'Data Sheet'!D68</f>
        <v>1281.3900000000001</v>
      </c>
      <c r="E18" s="4">
        <f>'Data Sheet'!J68</f>
        <v>2985</v>
      </c>
      <c r="F18" s="4">
        <f>'Data Sheet'!K68</f>
        <v>3033</v>
      </c>
    </row>
    <row r="20" spans="1:6" x14ac:dyDescent="0.3">
      <c r="A20" t="s">
        <v>39</v>
      </c>
      <c r="B20" s="4" t="e">
        <f>IF('Profit &amp; Loss'!#REF!&gt;0,'Balance Sheet'!B17/('Profit &amp; Loss'!#REF!/365),0)</f>
        <v>#REF!</v>
      </c>
      <c r="C20" s="4" t="e">
        <f>IF('Profit &amp; Loss'!#REF!&gt;0,'Balance Sheet'!C17/('Profit &amp; Loss'!#REF!/365),0)</f>
        <v>#REF!</v>
      </c>
      <c r="D20" s="4" t="e">
        <f>IF('Profit &amp; Loss'!#REF!&gt;0,'Balance Sheet'!D17/('Profit &amp; Loss'!#REF!/365),0)</f>
        <v>#REF!</v>
      </c>
      <c r="E20" s="4">
        <f>IF('Profit &amp; Loss'!B4&gt;0,'Balance Sheet'!E17/('Profit &amp; Loss'!B4/365),0)</f>
        <v>108.23809523809524</v>
      </c>
      <c r="F20" s="4">
        <f>IF('Profit &amp; Loss'!C4&gt;0,'Balance Sheet'!F17/('Profit &amp; Loss'!C4/365),0)</f>
        <v>113.2936507936508</v>
      </c>
    </row>
    <row r="21" spans="1:6" x14ac:dyDescent="0.3">
      <c r="A21" t="s">
        <v>40</v>
      </c>
      <c r="B21" s="4" t="e">
        <f>IF('Balance Sheet'!B18&gt;0,'Profit &amp; Loss'!#REF!/'Balance Sheet'!B18,0)</f>
        <v>#REF!</v>
      </c>
      <c r="C21" s="4" t="e">
        <f>IF('Balance Sheet'!C18&gt;0,'Profit &amp; Loss'!#REF!/'Balance Sheet'!C18,0)</f>
        <v>#REF!</v>
      </c>
      <c r="D21" s="4" t="e">
        <f>IF('Balance Sheet'!D18&gt;0,'Profit &amp; Loss'!#REF!/'Balance Sheet'!D18,0)</f>
        <v>#REF!</v>
      </c>
      <c r="E21" s="4">
        <f>IF('Balance Sheet'!E18&gt;0,'Profit &amp; Loss'!B4/'Balance Sheet'!E18,0)</f>
        <v>2.5678391959798996</v>
      </c>
      <c r="F21" s="4">
        <f>IF('Balance Sheet'!F18&gt;0,'Profit &amp; Loss'!C4/'Balance Sheet'!F18,0)</f>
        <v>3.0326409495548963</v>
      </c>
    </row>
    <row r="23" spans="1:6" s="2" customFormat="1" x14ac:dyDescent="0.3">
      <c r="A23" s="2" t="s">
        <v>52</v>
      </c>
      <c r="B23" s="7" t="e">
        <f>IF(SUM('Balance Sheet'!B4:B5)&gt;0,'Profit &amp; Loss'!#REF!/SUM('Balance Sheet'!B4:B5),"")</f>
        <v>#REF!</v>
      </c>
      <c r="C23" s="7" t="e">
        <f>IF(SUM('Balance Sheet'!C4:C5)&gt;0,'Profit &amp; Loss'!#REF!/SUM('Balance Sheet'!C4:C5),"")</f>
        <v>#REF!</v>
      </c>
      <c r="D23" s="7" t="e">
        <f>IF(SUM('Balance Sheet'!D4:D5)&gt;0,'Profit &amp; Loss'!#REF!/SUM('Balance Sheet'!D4:D5),"")</f>
        <v>#REF!</v>
      </c>
      <c r="E23" s="7">
        <f>IF(SUM('Balance Sheet'!E4:E5)&gt;0,'Profit &amp; Loss'!B12/SUM('Balance Sheet'!E4:E5),"")</f>
        <v>0.11687926431326016</v>
      </c>
      <c r="F23" s="7">
        <f>IF(SUM('Balance Sheet'!F4:F5)&gt;0,'Profit &amp; Loss'!C12/SUM('Balance Sheet'!F4:F5),"")</f>
        <v>0.1483048002685465</v>
      </c>
    </row>
    <row r="24" spans="1:6" s="2" customFormat="1" x14ac:dyDescent="0.3">
      <c r="A24" s="2" t="s">
        <v>53</v>
      </c>
      <c r="B24" s="7"/>
      <c r="C24" s="7" t="e">
        <f>IF((B4+B5+B6+C4+C5+C6)&gt;0,('Profit &amp; Loss'!#REF!+'Profit &amp; Loss'!#REF!)*2/(B4+B5+B6+C4+C5+C6),"")</f>
        <v>#REF!</v>
      </c>
      <c r="D24" s="7" t="e">
        <f>IF((C4+C5+C6+D4+D5+D6)&gt;0,('Profit &amp; Loss'!#REF!+'Profit &amp; Loss'!#REF!)*2/(C4+C5+C6+D4+D5+D6),"")</f>
        <v>#REF!</v>
      </c>
      <c r="E24" s="7" t="e">
        <f>IF((#REF!+#REF!+#REF!+E4+E5+E6)&gt;0,('Profit &amp; Loss'!B10+'Profit &amp; Loss'!B9)*2/(#REF!+#REF!+#REF!+E4+E5+E6),"")</f>
        <v>#REF!</v>
      </c>
      <c r="F24" s="7">
        <f>IF((E4+E5+E6+F4+F5+F6)&gt;0,('Profit &amp; Loss'!C10+'Profit &amp; Loss'!C9)*2/(E4+E5+E6+F4+F5+F6),"")</f>
        <v>0.20654663331101794</v>
      </c>
    </row>
  </sheetData>
  <hyperlinks>
    <hyperlink ref="E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F8"/>
  <sheetViews>
    <sheetView zoomScale="72" zoomScaleNormal="150" zoomScalePageLayoutView="15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A7" sqref="A7"/>
    </sheetView>
  </sheetViews>
  <sheetFormatPr defaultColWidth="8.77734375" defaultRowHeight="14.4" x14ac:dyDescent="0.3"/>
  <cols>
    <col min="1" max="1" width="26.77734375" bestFit="1" customWidth="1"/>
    <col min="2" max="4" width="13.44140625" customWidth="1"/>
    <col min="5" max="6" width="13.44140625" bestFit="1" customWidth="1"/>
  </cols>
  <sheetData>
    <row r="1" spans="1:6" s="2" customFormat="1" x14ac:dyDescent="0.3">
      <c r="A1" s="2" t="str">
        <f>'Balance Sheet'!A1</f>
        <v>DIVIS LABORATORIES LTD</v>
      </c>
      <c r="E1" s="2" t="s">
        <v>1</v>
      </c>
    </row>
    <row r="3" spans="1:6" s="2" customFormat="1" x14ac:dyDescent="0.3">
      <c r="A3" s="8" t="s">
        <v>2</v>
      </c>
      <c r="B3" s="9">
        <f>'Data Sheet'!B81</f>
        <v>42460</v>
      </c>
      <c r="C3" s="9">
        <f>'Data Sheet'!C81</f>
        <v>42825</v>
      </c>
      <c r="D3" s="9">
        <f>'Data Sheet'!D81</f>
        <v>43190</v>
      </c>
      <c r="E3" s="9">
        <f>'Data Sheet'!J81</f>
        <v>45382</v>
      </c>
      <c r="F3" s="9">
        <f>'Data Sheet'!K81</f>
        <v>45747</v>
      </c>
    </row>
    <row r="4" spans="1:6" s="2" customFormat="1" x14ac:dyDescent="0.3">
      <c r="A4" s="2" t="s">
        <v>25</v>
      </c>
      <c r="B4" s="1">
        <f>'Data Sheet'!B82</f>
        <v>1036.3399999999999</v>
      </c>
      <c r="C4" s="1">
        <f>'Data Sheet'!C82</f>
        <v>1149.1099999999999</v>
      </c>
      <c r="D4" s="1">
        <f>'Data Sheet'!D82</f>
        <v>764.72</v>
      </c>
      <c r="E4" s="1">
        <f>'Data Sheet'!J82</f>
        <v>1266</v>
      </c>
      <c r="F4" s="1">
        <f>'Data Sheet'!K82</f>
        <v>1650</v>
      </c>
    </row>
    <row r="5" spans="1:6" x14ac:dyDescent="0.3">
      <c r="A5" t="s">
        <v>26</v>
      </c>
      <c r="B5" s="6">
        <f>'Data Sheet'!B83</f>
        <v>-411.16</v>
      </c>
      <c r="C5" s="6">
        <f>'Data Sheet'!C83</f>
        <v>-1137.4100000000001</v>
      </c>
      <c r="D5" s="6">
        <f>'Data Sheet'!D83</f>
        <v>-475.89</v>
      </c>
      <c r="E5" s="6">
        <f>'Data Sheet'!J83</f>
        <v>-268</v>
      </c>
      <c r="F5" s="6">
        <f>'Data Sheet'!K83</f>
        <v>-803</v>
      </c>
    </row>
    <row r="6" spans="1:6" x14ac:dyDescent="0.3">
      <c r="A6" t="s">
        <v>27</v>
      </c>
      <c r="B6" s="6">
        <f>'Data Sheet'!B84</f>
        <v>-630.34</v>
      </c>
      <c r="C6" s="6">
        <f>'Data Sheet'!C84</f>
        <v>3.27</v>
      </c>
      <c r="D6" s="6">
        <f>'Data Sheet'!D84</f>
        <v>-314.17</v>
      </c>
      <c r="E6" s="6">
        <f>'Data Sheet'!J84</f>
        <v>-798</v>
      </c>
      <c r="F6" s="6">
        <f>'Data Sheet'!K84</f>
        <v>-797</v>
      </c>
    </row>
    <row r="7" spans="1:6" s="2" customFormat="1" x14ac:dyDescent="0.3">
      <c r="A7" s="2" t="s">
        <v>28</v>
      </c>
      <c r="B7" s="1">
        <f>'Data Sheet'!B85</f>
        <v>-5.17</v>
      </c>
      <c r="C7" s="1">
        <f>'Data Sheet'!C85</f>
        <v>14.97</v>
      </c>
      <c r="D7" s="1">
        <f>'Data Sheet'!D85</f>
        <v>-25.34</v>
      </c>
      <c r="E7" s="1">
        <f>'Data Sheet'!J85</f>
        <v>200</v>
      </c>
      <c r="F7" s="1">
        <f>'Data Sheet'!K85</f>
        <v>50</v>
      </c>
    </row>
    <row r="8" spans="1:6" x14ac:dyDescent="0.3">
      <c r="B8" s="6"/>
      <c r="C8" s="6"/>
      <c r="D8" s="6"/>
      <c r="E8" s="6"/>
      <c r="F8" s="6"/>
    </row>
  </sheetData>
  <hyperlinks>
    <hyperlink ref="E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16" customWidth="1"/>
    <col min="6" max="6" width="6.77734375" customWidth="1"/>
  </cols>
  <sheetData>
    <row r="1" spans="1:7" ht="21" x14ac:dyDescent="0.4">
      <c r="A1" s="15" t="s">
        <v>49</v>
      </c>
    </row>
    <row r="3" spans="1:7" x14ac:dyDescent="0.3">
      <c r="A3" s="2" t="s">
        <v>41</v>
      </c>
    </row>
    <row r="4" spans="1:7" x14ac:dyDescent="0.3">
      <c r="B4" t="s">
        <v>78</v>
      </c>
    </row>
    <row r="5" spans="1:7" x14ac:dyDescent="0.3">
      <c r="B5" t="s">
        <v>42</v>
      </c>
    </row>
    <row r="7" spans="1:7" x14ac:dyDescent="0.3">
      <c r="A7" s="2" t="s">
        <v>43</v>
      </c>
    </row>
    <row r="8" spans="1:7" x14ac:dyDescent="0.3">
      <c r="B8" t="s">
        <v>44</v>
      </c>
      <c r="C8" s="17" t="s">
        <v>79</v>
      </c>
    </row>
    <row r="10" spans="1:7" x14ac:dyDescent="0.3">
      <c r="A10" s="2" t="s">
        <v>45</v>
      </c>
    </row>
    <row r="11" spans="1:7" x14ac:dyDescent="0.3">
      <c r="B11" t="s">
        <v>46</v>
      </c>
    </row>
    <row r="14" spans="1:7" x14ac:dyDescent="0.3">
      <c r="A14" s="2" t="s">
        <v>47</v>
      </c>
    </row>
    <row r="15" spans="1:7" x14ac:dyDescent="0.3">
      <c r="B15" t="s">
        <v>48</v>
      </c>
    </row>
    <row r="16" spans="1:7" x14ac:dyDescent="0.3">
      <c r="B16" t="s">
        <v>80</v>
      </c>
      <c r="G16" s="1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56</v>
      </c>
      <c r="E1" s="21" t="str">
        <f>IF(B2&lt;&gt;B3, "A NEW VERSION OF THE WORKSHEET IS AVAILABLE", "")</f>
        <v/>
      </c>
      <c r="F1" s="21"/>
      <c r="G1" s="21"/>
      <c r="H1" s="21"/>
      <c r="I1" s="21"/>
      <c r="J1" s="21"/>
      <c r="K1" s="21"/>
    </row>
    <row r="2" spans="1:11" x14ac:dyDescent="0.3">
      <c r="A2" s="1" t="s">
        <v>54</v>
      </c>
      <c r="B2" s="4">
        <v>2.1</v>
      </c>
      <c r="E2" s="22" t="s">
        <v>29</v>
      </c>
      <c r="F2" s="22"/>
      <c r="G2" s="22"/>
      <c r="H2" s="22"/>
      <c r="I2" s="22"/>
      <c r="J2" s="22"/>
      <c r="K2" s="22"/>
    </row>
    <row r="3" spans="1:11" x14ac:dyDescent="0.3">
      <c r="A3" s="1" t="s">
        <v>55</v>
      </c>
      <c r="B3" s="4">
        <v>2.1</v>
      </c>
    </row>
    <row r="4" spans="1:11" x14ac:dyDescent="0.3">
      <c r="A4" s="1"/>
    </row>
    <row r="5" spans="1:11" x14ac:dyDescent="0.3">
      <c r="A5" s="1" t="s">
        <v>57</v>
      </c>
    </row>
    <row r="6" spans="1:11" x14ac:dyDescent="0.3">
      <c r="A6" s="4" t="s">
        <v>35</v>
      </c>
      <c r="B6" s="4">
        <f>IF(B9&gt;0, B9/B8, 0)</f>
        <v>26.546858611048137</v>
      </c>
    </row>
    <row r="7" spans="1:11" x14ac:dyDescent="0.3">
      <c r="A7" s="4" t="s">
        <v>24</v>
      </c>
      <c r="B7">
        <v>2</v>
      </c>
    </row>
    <row r="8" spans="1:11" x14ac:dyDescent="0.3">
      <c r="A8" s="4" t="s">
        <v>36</v>
      </c>
      <c r="B8">
        <v>6616.5</v>
      </c>
    </row>
    <row r="9" spans="1:11" x14ac:dyDescent="0.3">
      <c r="A9" s="4" t="s">
        <v>67</v>
      </c>
      <c r="B9">
        <v>175647.29</v>
      </c>
    </row>
    <row r="15" spans="1:11" x14ac:dyDescent="0.3">
      <c r="A15" s="1" t="s">
        <v>30</v>
      </c>
    </row>
    <row r="16" spans="1:11" s="14" customFormat="1" x14ac:dyDescent="0.3">
      <c r="A16" s="13" t="s">
        <v>31</v>
      </c>
      <c r="B16" s="9">
        <v>42460</v>
      </c>
      <c r="C16" s="9">
        <v>42825</v>
      </c>
      <c r="D16" s="9">
        <v>43190</v>
      </c>
      <c r="E16" s="9">
        <v>43555</v>
      </c>
      <c r="F16" s="9">
        <v>43921</v>
      </c>
      <c r="G16" s="9">
        <v>44286</v>
      </c>
      <c r="H16" s="9">
        <v>44651</v>
      </c>
      <c r="I16" s="9">
        <v>45016</v>
      </c>
      <c r="J16" s="9">
        <v>45382</v>
      </c>
      <c r="K16" s="9">
        <v>45747</v>
      </c>
    </row>
    <row r="17" spans="1:11" s="6" customFormat="1" x14ac:dyDescent="0.3">
      <c r="A17" s="6" t="s">
        <v>4</v>
      </c>
      <c r="B17">
        <v>3720.09</v>
      </c>
      <c r="C17">
        <v>4023.85</v>
      </c>
      <c r="D17">
        <v>3815.94</v>
      </c>
      <c r="E17">
        <v>4879.66</v>
      </c>
      <c r="F17">
        <v>5310.57</v>
      </c>
      <c r="G17">
        <v>6798.61</v>
      </c>
      <c r="H17">
        <v>8879.82</v>
      </c>
      <c r="I17">
        <v>7625</v>
      </c>
      <c r="J17">
        <v>7665</v>
      </c>
      <c r="K17">
        <v>9198</v>
      </c>
    </row>
    <row r="18" spans="1:11" s="6" customFormat="1" x14ac:dyDescent="0.3">
      <c r="A18" s="4" t="s">
        <v>68</v>
      </c>
      <c r="B18">
        <v>1472.43</v>
      </c>
      <c r="C18">
        <v>1595.93</v>
      </c>
      <c r="D18">
        <v>1524.28</v>
      </c>
      <c r="E18">
        <v>2120.64</v>
      </c>
      <c r="F18">
        <v>2223.9499999999998</v>
      </c>
      <c r="G18">
        <v>2416.4699999999998</v>
      </c>
      <c r="H18">
        <v>3499.18</v>
      </c>
      <c r="I18">
        <v>3035</v>
      </c>
      <c r="J18">
        <v>3270</v>
      </c>
      <c r="K18">
        <v>3827</v>
      </c>
    </row>
    <row r="19" spans="1:11" s="6" customFormat="1" x14ac:dyDescent="0.3">
      <c r="A19" s="4" t="s">
        <v>69</v>
      </c>
      <c r="B19">
        <v>-22.03</v>
      </c>
      <c r="C19">
        <v>21.61</v>
      </c>
      <c r="D19">
        <v>19.38</v>
      </c>
      <c r="E19">
        <v>244.22</v>
      </c>
      <c r="F19">
        <v>94.1</v>
      </c>
      <c r="G19">
        <v>100</v>
      </c>
      <c r="H19">
        <v>449.99</v>
      </c>
      <c r="I19">
        <v>-50</v>
      </c>
      <c r="J19">
        <v>127</v>
      </c>
      <c r="K19">
        <v>83</v>
      </c>
    </row>
    <row r="20" spans="1:11" s="6" customFormat="1" x14ac:dyDescent="0.3">
      <c r="A20" s="4" t="s">
        <v>70</v>
      </c>
      <c r="B20">
        <v>181.99</v>
      </c>
      <c r="C20">
        <v>198.8</v>
      </c>
      <c r="D20">
        <v>228.73</v>
      </c>
      <c r="E20">
        <v>248.78</v>
      </c>
      <c r="F20">
        <v>280.73</v>
      </c>
      <c r="G20">
        <v>319.14999999999998</v>
      </c>
      <c r="H20">
        <v>390.05</v>
      </c>
      <c r="I20">
        <v>496</v>
      </c>
      <c r="J20">
        <v>477</v>
      </c>
      <c r="K20">
        <v>465</v>
      </c>
    </row>
    <row r="21" spans="1:11" s="6" customFormat="1" x14ac:dyDescent="0.3">
      <c r="A21" s="4" t="s">
        <v>71</v>
      </c>
      <c r="B21">
        <v>133.02000000000001</v>
      </c>
      <c r="C21">
        <v>108.78</v>
      </c>
      <c r="D21">
        <v>158.57</v>
      </c>
      <c r="E21">
        <v>138.96</v>
      </c>
      <c r="F21">
        <v>184.36</v>
      </c>
      <c r="G21">
        <v>202.29</v>
      </c>
      <c r="H21">
        <v>255.38</v>
      </c>
      <c r="I21">
        <v>285</v>
      </c>
      <c r="J21">
        <v>299</v>
      </c>
      <c r="K21">
        <v>276</v>
      </c>
    </row>
    <row r="22" spans="1:11" s="6" customFormat="1" x14ac:dyDescent="0.3">
      <c r="A22" s="4" t="s">
        <v>72</v>
      </c>
      <c r="B22">
        <v>353.16</v>
      </c>
      <c r="C22">
        <v>490.49</v>
      </c>
      <c r="D22">
        <v>446.66</v>
      </c>
      <c r="E22">
        <v>531.23</v>
      </c>
      <c r="F22">
        <v>609.66999999999996</v>
      </c>
      <c r="G22">
        <v>810.77</v>
      </c>
      <c r="H22">
        <v>928.72</v>
      </c>
      <c r="I22">
        <v>955</v>
      </c>
      <c r="J22">
        <v>1069</v>
      </c>
      <c r="K22">
        <v>1212</v>
      </c>
    </row>
    <row r="23" spans="1:11" s="6" customFormat="1" x14ac:dyDescent="0.3">
      <c r="A23" s="4" t="s">
        <v>73</v>
      </c>
      <c r="B23">
        <v>86.31</v>
      </c>
      <c r="C23">
        <v>137.47999999999999</v>
      </c>
      <c r="D23">
        <v>201.6</v>
      </c>
      <c r="E23">
        <v>171.33</v>
      </c>
      <c r="F23">
        <v>221.55</v>
      </c>
      <c r="G23">
        <v>290.44</v>
      </c>
      <c r="H23">
        <v>337.99</v>
      </c>
      <c r="I23">
        <v>400</v>
      </c>
      <c r="J23">
        <v>365</v>
      </c>
      <c r="K23">
        <v>447</v>
      </c>
    </row>
    <row r="24" spans="1:11" s="6" customFormat="1" x14ac:dyDescent="0.3">
      <c r="A24" s="4" t="s">
        <v>74</v>
      </c>
      <c r="B24">
        <v>65.489999999999995</v>
      </c>
      <c r="C24">
        <v>72.61</v>
      </c>
      <c r="D24">
        <v>17.61</v>
      </c>
      <c r="E24">
        <v>61.48</v>
      </c>
      <c r="F24">
        <v>64.75</v>
      </c>
      <c r="G24">
        <v>31.73</v>
      </c>
      <c r="H24">
        <v>38.9</v>
      </c>
      <c r="I24">
        <v>54</v>
      </c>
      <c r="J24">
        <v>133</v>
      </c>
      <c r="K24">
        <v>70</v>
      </c>
    </row>
    <row r="25" spans="1:11" s="6" customFormat="1" x14ac:dyDescent="0.3">
      <c r="A25" s="6" t="s">
        <v>7</v>
      </c>
      <c r="B25">
        <v>91.68</v>
      </c>
      <c r="C25">
        <v>73.45</v>
      </c>
      <c r="D25">
        <v>106.22</v>
      </c>
      <c r="E25">
        <v>155.19</v>
      </c>
      <c r="F25">
        <v>186.61</v>
      </c>
      <c r="G25">
        <v>56.57</v>
      </c>
      <c r="H25">
        <v>109.21</v>
      </c>
      <c r="I25">
        <v>348</v>
      </c>
      <c r="J25">
        <v>333</v>
      </c>
      <c r="K25">
        <v>348</v>
      </c>
    </row>
    <row r="26" spans="1:11" s="6" customFormat="1" x14ac:dyDescent="0.3">
      <c r="A26" s="6" t="s">
        <v>8</v>
      </c>
      <c r="B26">
        <v>118.1</v>
      </c>
      <c r="C26">
        <v>123.26</v>
      </c>
      <c r="D26">
        <v>142.41999999999999</v>
      </c>
      <c r="E26">
        <v>168.81</v>
      </c>
      <c r="F26">
        <v>185.95</v>
      </c>
      <c r="G26">
        <v>254.65</v>
      </c>
      <c r="H26">
        <v>310.55</v>
      </c>
      <c r="I26">
        <v>342</v>
      </c>
      <c r="J26">
        <v>376</v>
      </c>
      <c r="K26">
        <v>401</v>
      </c>
    </row>
    <row r="27" spans="1:11" s="6" customFormat="1" x14ac:dyDescent="0.3">
      <c r="A27" s="6" t="s">
        <v>9</v>
      </c>
      <c r="B27">
        <v>3.95</v>
      </c>
      <c r="C27">
        <v>3.33</v>
      </c>
      <c r="D27">
        <v>2.31</v>
      </c>
      <c r="E27">
        <v>4.6100000000000003</v>
      </c>
      <c r="F27">
        <v>7.03</v>
      </c>
      <c r="G27">
        <v>1.81</v>
      </c>
      <c r="H27">
        <v>1.73</v>
      </c>
      <c r="I27">
        <v>2</v>
      </c>
      <c r="J27">
        <v>4</v>
      </c>
      <c r="K27">
        <v>2</v>
      </c>
    </row>
    <row r="28" spans="1:11" s="6" customFormat="1" x14ac:dyDescent="0.3">
      <c r="A28" s="6" t="s">
        <v>10</v>
      </c>
      <c r="B28">
        <v>1375.29</v>
      </c>
      <c r="C28">
        <v>1388.23</v>
      </c>
      <c r="D28">
        <v>1219.3599999999999</v>
      </c>
      <c r="E28">
        <v>1833.23</v>
      </c>
      <c r="F28">
        <v>1813.29</v>
      </c>
      <c r="G28">
        <v>2627.87</v>
      </c>
      <c r="H28">
        <v>3676.52</v>
      </c>
      <c r="I28">
        <v>2354</v>
      </c>
      <c r="J28">
        <v>2132</v>
      </c>
      <c r="K28">
        <v>2929</v>
      </c>
    </row>
    <row r="29" spans="1:11" s="6" customFormat="1" x14ac:dyDescent="0.3">
      <c r="A29" s="6" t="s">
        <v>11</v>
      </c>
      <c r="B29">
        <v>264.45</v>
      </c>
      <c r="C29">
        <v>334.96</v>
      </c>
      <c r="D29">
        <v>349.78</v>
      </c>
      <c r="E29">
        <v>500.58</v>
      </c>
      <c r="F29">
        <v>440.58</v>
      </c>
      <c r="G29">
        <v>673.15</v>
      </c>
      <c r="H29">
        <v>727.98</v>
      </c>
      <c r="I29">
        <v>546</v>
      </c>
      <c r="J29">
        <v>556</v>
      </c>
      <c r="K29">
        <v>720</v>
      </c>
    </row>
    <row r="30" spans="1:11" s="6" customFormat="1" x14ac:dyDescent="0.3">
      <c r="A30" s="6" t="s">
        <v>12</v>
      </c>
      <c r="B30">
        <v>1110.8399999999999</v>
      </c>
      <c r="C30">
        <v>1053.27</v>
      </c>
      <c r="D30">
        <v>869.58</v>
      </c>
      <c r="E30">
        <v>1332.65</v>
      </c>
      <c r="F30">
        <v>1372.71</v>
      </c>
      <c r="G30">
        <v>1954.72</v>
      </c>
      <c r="H30">
        <v>2948.54</v>
      </c>
      <c r="I30">
        <v>1808</v>
      </c>
      <c r="J30">
        <v>1576</v>
      </c>
      <c r="K30">
        <v>2209</v>
      </c>
    </row>
    <row r="31" spans="1:11" s="6" customFormat="1" x14ac:dyDescent="0.3">
      <c r="A31" s="6" t="s">
        <v>58</v>
      </c>
      <c r="B31">
        <v>265.45</v>
      </c>
      <c r="C31">
        <v>265.45</v>
      </c>
      <c r="D31">
        <v>265.45</v>
      </c>
      <c r="E31">
        <v>424.72</v>
      </c>
      <c r="F31">
        <v>424.72</v>
      </c>
      <c r="G31">
        <v>530.9</v>
      </c>
      <c r="H31">
        <v>796.35</v>
      </c>
      <c r="I31">
        <v>795</v>
      </c>
      <c r="J31">
        <v>795</v>
      </c>
      <c r="K31">
        <v>795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32</v>
      </c>
    </row>
    <row r="41" spans="1:11" s="14" customFormat="1" x14ac:dyDescent="0.3">
      <c r="A41" s="13" t="s">
        <v>31</v>
      </c>
      <c r="B41" s="9">
        <v>45107</v>
      </c>
      <c r="C41" s="9">
        <v>45199</v>
      </c>
      <c r="D41" s="9">
        <v>45291</v>
      </c>
      <c r="E41" s="9">
        <v>45382</v>
      </c>
      <c r="F41" s="9">
        <v>45473</v>
      </c>
      <c r="G41" s="9">
        <v>45565</v>
      </c>
      <c r="H41" s="9">
        <v>45657</v>
      </c>
      <c r="I41" s="9">
        <v>45747</v>
      </c>
      <c r="J41" s="9">
        <v>45838</v>
      </c>
      <c r="K41" s="9">
        <v>45930</v>
      </c>
    </row>
    <row r="42" spans="1:11" s="6" customFormat="1" x14ac:dyDescent="0.3">
      <c r="A42" s="6" t="s">
        <v>4</v>
      </c>
      <c r="B42">
        <v>1730</v>
      </c>
      <c r="C42">
        <v>1868</v>
      </c>
      <c r="D42">
        <v>1808</v>
      </c>
      <c r="E42">
        <v>2259</v>
      </c>
      <c r="F42">
        <v>2063</v>
      </c>
      <c r="G42">
        <v>2302</v>
      </c>
      <c r="H42">
        <v>2297</v>
      </c>
      <c r="I42">
        <v>2536</v>
      </c>
      <c r="J42">
        <v>2357</v>
      </c>
      <c r="K42">
        <v>2660</v>
      </c>
    </row>
    <row r="43" spans="1:11" s="6" customFormat="1" x14ac:dyDescent="0.3">
      <c r="A43" s="6" t="s">
        <v>5</v>
      </c>
      <c r="B43">
        <v>1239</v>
      </c>
      <c r="C43">
        <v>1394</v>
      </c>
      <c r="D43">
        <v>1317</v>
      </c>
      <c r="E43">
        <v>1542</v>
      </c>
      <c r="F43">
        <v>1442</v>
      </c>
      <c r="G43">
        <v>1573</v>
      </c>
      <c r="H43">
        <v>1550</v>
      </c>
      <c r="I43">
        <v>1655</v>
      </c>
      <c r="J43">
        <v>1614</v>
      </c>
      <c r="K43">
        <v>1765</v>
      </c>
    </row>
    <row r="44" spans="1:11" s="6" customFormat="1" x14ac:dyDescent="0.3">
      <c r="A44" s="6" t="s">
        <v>7</v>
      </c>
      <c r="B44">
        <v>80</v>
      </c>
      <c r="C44">
        <v>85</v>
      </c>
      <c r="D44">
        <v>94</v>
      </c>
      <c r="E44">
        <v>79</v>
      </c>
      <c r="F44">
        <v>79</v>
      </c>
      <c r="G44">
        <v>105</v>
      </c>
      <c r="H44">
        <v>82</v>
      </c>
      <c r="I44">
        <v>87</v>
      </c>
      <c r="J44">
        <v>119</v>
      </c>
      <c r="K44">
        <v>146</v>
      </c>
    </row>
    <row r="45" spans="1:11" s="6" customFormat="1" x14ac:dyDescent="0.3">
      <c r="A45" s="6" t="s">
        <v>8</v>
      </c>
      <c r="B45">
        <v>93</v>
      </c>
      <c r="C45">
        <v>94</v>
      </c>
      <c r="D45">
        <v>95</v>
      </c>
      <c r="E45">
        <v>94</v>
      </c>
      <c r="F45">
        <v>97</v>
      </c>
      <c r="G45">
        <v>98</v>
      </c>
      <c r="H45">
        <v>99</v>
      </c>
      <c r="I45">
        <v>107</v>
      </c>
      <c r="J45">
        <v>112</v>
      </c>
      <c r="K45">
        <v>113</v>
      </c>
    </row>
    <row r="46" spans="1:11" s="6" customFormat="1" x14ac:dyDescent="0.3">
      <c r="A46" s="6" t="s">
        <v>9</v>
      </c>
      <c r="C46">
        <v>1</v>
      </c>
      <c r="E46">
        <v>2</v>
      </c>
      <c r="G46">
        <v>1</v>
      </c>
      <c r="J46">
        <v>3</v>
      </c>
      <c r="K46">
        <v>8</v>
      </c>
    </row>
    <row r="47" spans="1:11" s="6" customFormat="1" x14ac:dyDescent="0.3">
      <c r="A47" s="6" t="s">
        <v>10</v>
      </c>
      <c r="B47">
        <v>478</v>
      </c>
      <c r="C47">
        <v>464</v>
      </c>
      <c r="D47">
        <v>490</v>
      </c>
      <c r="E47">
        <v>700</v>
      </c>
      <c r="F47">
        <v>603</v>
      </c>
      <c r="G47">
        <v>735</v>
      </c>
      <c r="H47">
        <v>730</v>
      </c>
      <c r="I47">
        <v>861</v>
      </c>
      <c r="J47">
        <v>747</v>
      </c>
      <c r="K47">
        <v>920</v>
      </c>
    </row>
    <row r="48" spans="1:11" s="6" customFormat="1" x14ac:dyDescent="0.3">
      <c r="A48" s="6" t="s">
        <v>11</v>
      </c>
      <c r="B48">
        <v>133</v>
      </c>
      <c r="C48">
        <v>122</v>
      </c>
      <c r="D48">
        <v>132</v>
      </c>
      <c r="E48">
        <v>169</v>
      </c>
      <c r="F48">
        <v>173</v>
      </c>
      <c r="G48">
        <v>217</v>
      </c>
      <c r="H48">
        <v>136</v>
      </c>
      <c r="I48">
        <v>194</v>
      </c>
      <c r="J48">
        <v>190</v>
      </c>
      <c r="K48">
        <v>224</v>
      </c>
    </row>
    <row r="49" spans="1:11" s="6" customFormat="1" x14ac:dyDescent="0.3">
      <c r="A49" s="6" t="s">
        <v>12</v>
      </c>
      <c r="B49">
        <v>345</v>
      </c>
      <c r="C49">
        <v>342</v>
      </c>
      <c r="D49">
        <v>358</v>
      </c>
      <c r="E49">
        <v>531</v>
      </c>
      <c r="F49">
        <v>430</v>
      </c>
      <c r="G49">
        <v>518</v>
      </c>
      <c r="H49">
        <v>594</v>
      </c>
      <c r="I49">
        <v>667</v>
      </c>
      <c r="J49">
        <v>557</v>
      </c>
      <c r="K49">
        <v>696</v>
      </c>
    </row>
    <row r="50" spans="1:11" x14ac:dyDescent="0.3">
      <c r="A50" s="6" t="s">
        <v>6</v>
      </c>
      <c r="B50">
        <v>491</v>
      </c>
      <c r="C50">
        <v>474</v>
      </c>
      <c r="D50">
        <v>491</v>
      </c>
      <c r="E50">
        <v>717</v>
      </c>
      <c r="F50">
        <v>621</v>
      </c>
      <c r="G50">
        <v>729</v>
      </c>
      <c r="H50">
        <v>747</v>
      </c>
      <c r="I50">
        <v>881</v>
      </c>
      <c r="J50">
        <v>743</v>
      </c>
      <c r="K50">
        <v>895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33</v>
      </c>
    </row>
    <row r="56" spans="1:11" s="14" customFormat="1" x14ac:dyDescent="0.3">
      <c r="A56" s="13" t="s">
        <v>31</v>
      </c>
      <c r="B56" s="9">
        <v>42460</v>
      </c>
      <c r="C56" s="9">
        <v>42825</v>
      </c>
      <c r="D56" s="9">
        <v>43190</v>
      </c>
      <c r="E56" s="9">
        <v>43555</v>
      </c>
      <c r="F56" s="9">
        <v>43921</v>
      </c>
      <c r="G56" s="9">
        <v>44286</v>
      </c>
      <c r="H56" s="9">
        <v>44651</v>
      </c>
      <c r="I56" s="9">
        <v>45016</v>
      </c>
      <c r="J56" s="9">
        <v>45382</v>
      </c>
      <c r="K56" s="9">
        <v>45747</v>
      </c>
    </row>
    <row r="57" spans="1:11" x14ac:dyDescent="0.3">
      <c r="A57" s="6" t="s">
        <v>17</v>
      </c>
      <c r="B57">
        <v>53.09</v>
      </c>
      <c r="C57">
        <v>53.09</v>
      </c>
      <c r="D57">
        <v>53.09</v>
      </c>
      <c r="E57">
        <v>53.09</v>
      </c>
      <c r="F57">
        <v>53.09</v>
      </c>
      <c r="G57">
        <v>53.09</v>
      </c>
      <c r="H57">
        <v>53.09</v>
      </c>
      <c r="I57">
        <v>53</v>
      </c>
      <c r="J57">
        <v>53</v>
      </c>
      <c r="K57">
        <v>53</v>
      </c>
    </row>
    <row r="58" spans="1:11" x14ac:dyDescent="0.3">
      <c r="A58" s="6" t="s">
        <v>18</v>
      </c>
      <c r="B58">
        <v>4303.95</v>
      </c>
      <c r="C58">
        <v>5355.82</v>
      </c>
      <c r="D58">
        <v>5906.56</v>
      </c>
      <c r="E58">
        <v>6920.22</v>
      </c>
      <c r="F58">
        <v>7263.6</v>
      </c>
      <c r="G58">
        <v>9218.48</v>
      </c>
      <c r="H58">
        <v>11638.26</v>
      </c>
      <c r="I58">
        <v>12652</v>
      </c>
      <c r="J58">
        <v>13431</v>
      </c>
      <c r="K58">
        <v>14842</v>
      </c>
    </row>
    <row r="59" spans="1:11" x14ac:dyDescent="0.3">
      <c r="A59" s="6" t="s">
        <v>59</v>
      </c>
      <c r="B59">
        <v>42.47</v>
      </c>
      <c r="C59">
        <v>35.74</v>
      </c>
      <c r="D59">
        <v>63.11</v>
      </c>
      <c r="E59">
        <v>105.6</v>
      </c>
      <c r="F59">
        <v>33.630000000000003</v>
      </c>
      <c r="G59">
        <v>0.35</v>
      </c>
      <c r="K59">
        <v>2</v>
      </c>
    </row>
    <row r="60" spans="1:11" x14ac:dyDescent="0.3">
      <c r="A60" s="6" t="s">
        <v>60</v>
      </c>
      <c r="B60">
        <v>565.98</v>
      </c>
      <c r="C60">
        <v>765.43</v>
      </c>
      <c r="D60">
        <v>785.02</v>
      </c>
      <c r="E60">
        <v>961.27</v>
      </c>
      <c r="F60">
        <v>1163.79</v>
      </c>
      <c r="G60">
        <v>1451.85</v>
      </c>
      <c r="H60">
        <v>1616.51</v>
      </c>
      <c r="I60">
        <v>1647</v>
      </c>
      <c r="J60">
        <v>1878</v>
      </c>
      <c r="K60">
        <v>1927</v>
      </c>
    </row>
    <row r="61" spans="1:11" s="1" customFormat="1" x14ac:dyDescent="0.3">
      <c r="A61" s="1" t="s">
        <v>19</v>
      </c>
      <c r="B61">
        <v>4965.49</v>
      </c>
      <c r="C61">
        <v>6210.08</v>
      </c>
      <c r="D61">
        <v>6807.78</v>
      </c>
      <c r="E61">
        <v>8040.18</v>
      </c>
      <c r="F61">
        <v>8514.11</v>
      </c>
      <c r="G61">
        <v>10723.77</v>
      </c>
      <c r="H61">
        <v>13307.86</v>
      </c>
      <c r="I61">
        <v>14352</v>
      </c>
      <c r="J61">
        <v>15362</v>
      </c>
      <c r="K61">
        <v>16824</v>
      </c>
    </row>
    <row r="62" spans="1:11" x14ac:dyDescent="0.3">
      <c r="A62" s="6" t="s">
        <v>20</v>
      </c>
      <c r="B62">
        <v>1438.64</v>
      </c>
      <c r="C62">
        <v>1558.95</v>
      </c>
      <c r="D62">
        <v>1995.88</v>
      </c>
      <c r="E62">
        <v>2087.44</v>
      </c>
      <c r="F62">
        <v>2776.26</v>
      </c>
      <c r="G62">
        <v>3699.01</v>
      </c>
      <c r="H62">
        <v>4320.97</v>
      </c>
      <c r="I62">
        <v>4719</v>
      </c>
      <c r="J62">
        <v>4737</v>
      </c>
      <c r="K62">
        <v>5440</v>
      </c>
    </row>
    <row r="63" spans="1:11" x14ac:dyDescent="0.3">
      <c r="A63" s="6" t="s">
        <v>21</v>
      </c>
      <c r="B63">
        <v>263.91000000000003</v>
      </c>
      <c r="C63">
        <v>443.57</v>
      </c>
      <c r="D63">
        <v>119.76</v>
      </c>
      <c r="E63">
        <v>491.91</v>
      </c>
      <c r="F63">
        <v>919.69</v>
      </c>
      <c r="G63">
        <v>710.62</v>
      </c>
      <c r="H63">
        <v>469.93</v>
      </c>
      <c r="I63">
        <v>212</v>
      </c>
      <c r="J63">
        <v>778</v>
      </c>
      <c r="K63">
        <v>1022</v>
      </c>
    </row>
    <row r="64" spans="1:11" x14ac:dyDescent="0.3">
      <c r="A64" s="6" t="s">
        <v>22</v>
      </c>
      <c r="B64">
        <v>813.04</v>
      </c>
      <c r="C64">
        <v>1639.09</v>
      </c>
      <c r="D64">
        <v>1896.66</v>
      </c>
      <c r="E64">
        <v>1952.96</v>
      </c>
      <c r="F64">
        <v>978.72</v>
      </c>
      <c r="G64">
        <v>7.37</v>
      </c>
      <c r="H64">
        <v>79.37</v>
      </c>
      <c r="I64">
        <v>84</v>
      </c>
      <c r="J64">
        <v>89</v>
      </c>
      <c r="K64">
        <v>72</v>
      </c>
    </row>
    <row r="65" spans="1:11" x14ac:dyDescent="0.3">
      <c r="A65" s="6" t="s">
        <v>61</v>
      </c>
      <c r="B65">
        <v>2449.9</v>
      </c>
      <c r="C65">
        <v>2568.4699999999998</v>
      </c>
      <c r="D65">
        <v>2795.48</v>
      </c>
      <c r="E65">
        <v>3507.87</v>
      </c>
      <c r="F65">
        <v>3839.44</v>
      </c>
      <c r="G65">
        <v>6306.77</v>
      </c>
      <c r="H65">
        <v>8437.59</v>
      </c>
      <c r="I65">
        <v>9337</v>
      </c>
      <c r="J65">
        <v>9758</v>
      </c>
      <c r="K65">
        <v>10290</v>
      </c>
    </row>
    <row r="66" spans="1:11" s="1" customFormat="1" x14ac:dyDescent="0.3">
      <c r="A66" s="1" t="s">
        <v>19</v>
      </c>
      <c r="B66">
        <v>4965.49</v>
      </c>
      <c r="C66">
        <v>6210.08</v>
      </c>
      <c r="D66">
        <v>6807.78</v>
      </c>
      <c r="E66">
        <v>8040.18</v>
      </c>
      <c r="F66">
        <v>8514.11</v>
      </c>
      <c r="G66">
        <v>10723.77</v>
      </c>
      <c r="H66">
        <v>13307.86</v>
      </c>
      <c r="I66">
        <v>14352</v>
      </c>
      <c r="J66">
        <v>15362</v>
      </c>
      <c r="K66">
        <v>16824</v>
      </c>
    </row>
    <row r="67" spans="1:11" s="6" customFormat="1" x14ac:dyDescent="0.3">
      <c r="A67" s="6" t="s">
        <v>66</v>
      </c>
      <c r="B67">
        <v>966.12</v>
      </c>
      <c r="C67">
        <v>1002.89</v>
      </c>
      <c r="D67">
        <v>1112.1099999999999</v>
      </c>
      <c r="E67">
        <v>1282.24</v>
      </c>
      <c r="F67">
        <v>1533.21</v>
      </c>
      <c r="G67">
        <v>1745.56</v>
      </c>
      <c r="H67">
        <v>2569.9</v>
      </c>
      <c r="I67">
        <v>1964</v>
      </c>
      <c r="J67">
        <v>2273</v>
      </c>
      <c r="K67">
        <v>2855</v>
      </c>
    </row>
    <row r="68" spans="1:11" x14ac:dyDescent="0.3">
      <c r="A68" s="6" t="s">
        <v>38</v>
      </c>
      <c r="B68">
        <v>1162.8900000000001</v>
      </c>
      <c r="C68">
        <v>1255.76</v>
      </c>
      <c r="D68">
        <v>1281.3900000000001</v>
      </c>
      <c r="E68">
        <v>1663.18</v>
      </c>
      <c r="F68">
        <v>1744.17</v>
      </c>
      <c r="G68">
        <v>2042.7</v>
      </c>
      <c r="H68">
        <v>2644.05</v>
      </c>
      <c r="I68">
        <v>2781</v>
      </c>
      <c r="J68">
        <v>2985</v>
      </c>
      <c r="K68">
        <v>3033</v>
      </c>
    </row>
    <row r="69" spans="1:11" x14ac:dyDescent="0.3">
      <c r="A69" s="4" t="s">
        <v>75</v>
      </c>
      <c r="B69">
        <v>59.38</v>
      </c>
      <c r="C69">
        <v>66.47</v>
      </c>
      <c r="D69">
        <v>91.48</v>
      </c>
      <c r="E69">
        <v>105.2</v>
      </c>
      <c r="F69">
        <v>107.36</v>
      </c>
      <c r="G69">
        <v>2142.0100000000002</v>
      </c>
      <c r="H69">
        <v>2803.68</v>
      </c>
      <c r="I69">
        <v>4188</v>
      </c>
      <c r="J69">
        <v>3961</v>
      </c>
      <c r="K69">
        <v>3696</v>
      </c>
    </row>
    <row r="70" spans="1:11" x14ac:dyDescent="0.3">
      <c r="A70" s="4" t="s">
        <v>62</v>
      </c>
      <c r="B70">
        <v>265468580</v>
      </c>
      <c r="C70">
        <v>265468580</v>
      </c>
      <c r="D70">
        <v>265468580</v>
      </c>
      <c r="E70">
        <v>265468580</v>
      </c>
      <c r="F70">
        <v>265468580</v>
      </c>
      <c r="G70">
        <v>265468580</v>
      </c>
      <c r="H70">
        <v>265468580</v>
      </c>
      <c r="I70">
        <v>265468580</v>
      </c>
      <c r="J70">
        <v>265468580</v>
      </c>
      <c r="K70">
        <v>265468580</v>
      </c>
    </row>
    <row r="71" spans="1:11" x14ac:dyDescent="0.3">
      <c r="A71" s="4" t="s">
        <v>63</v>
      </c>
      <c r="B71">
        <v>132734290</v>
      </c>
      <c r="C71">
        <v>132734290</v>
      </c>
    </row>
    <row r="72" spans="1:11" x14ac:dyDescent="0.3">
      <c r="A72" s="4" t="s">
        <v>76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34</v>
      </c>
    </row>
    <row r="81" spans="1:11" s="14" customFormat="1" x14ac:dyDescent="0.3">
      <c r="A81" s="13" t="s">
        <v>31</v>
      </c>
      <c r="B81" s="9">
        <v>42460</v>
      </c>
      <c r="C81" s="9">
        <v>42825</v>
      </c>
      <c r="D81" s="9">
        <v>43190</v>
      </c>
      <c r="E81" s="9">
        <v>43555</v>
      </c>
      <c r="F81" s="9">
        <v>43921</v>
      </c>
      <c r="G81" s="9">
        <v>44286</v>
      </c>
      <c r="H81" s="9">
        <v>44651</v>
      </c>
      <c r="I81" s="9">
        <v>45016</v>
      </c>
      <c r="J81" s="9">
        <v>45382</v>
      </c>
      <c r="K81" s="9">
        <v>45747</v>
      </c>
    </row>
    <row r="82" spans="1:11" s="1" customFormat="1" x14ac:dyDescent="0.3">
      <c r="A82" s="6" t="s">
        <v>25</v>
      </c>
      <c r="B82">
        <v>1036.3399999999999</v>
      </c>
      <c r="C82">
        <v>1149.1099999999999</v>
      </c>
      <c r="D82">
        <v>764.72</v>
      </c>
      <c r="E82">
        <v>964.06</v>
      </c>
      <c r="F82">
        <v>1208.47</v>
      </c>
      <c r="G82">
        <v>1947.05</v>
      </c>
      <c r="H82">
        <v>1910.16</v>
      </c>
      <c r="I82">
        <v>2447</v>
      </c>
      <c r="J82">
        <v>1266</v>
      </c>
      <c r="K82">
        <v>1650</v>
      </c>
    </row>
    <row r="83" spans="1:11" s="6" customFormat="1" x14ac:dyDescent="0.3">
      <c r="A83" s="6" t="s">
        <v>26</v>
      </c>
      <c r="B83">
        <v>-411.16</v>
      </c>
      <c r="C83">
        <v>-1137.4100000000001</v>
      </c>
      <c r="D83">
        <v>-475.89</v>
      </c>
      <c r="E83">
        <v>-684.24</v>
      </c>
      <c r="F83">
        <v>-81.38</v>
      </c>
      <c r="G83">
        <v>75.34</v>
      </c>
      <c r="H83">
        <v>-2195.4</v>
      </c>
      <c r="I83">
        <v>-2707</v>
      </c>
      <c r="J83">
        <v>-268</v>
      </c>
      <c r="K83">
        <v>-803</v>
      </c>
    </row>
    <row r="84" spans="1:11" s="6" customFormat="1" x14ac:dyDescent="0.3">
      <c r="A84" s="6" t="s">
        <v>27</v>
      </c>
      <c r="B84">
        <v>-630.34</v>
      </c>
      <c r="C84">
        <v>3.27</v>
      </c>
      <c r="D84">
        <v>-314.17</v>
      </c>
      <c r="E84">
        <v>-245.94</v>
      </c>
      <c r="F84">
        <v>-1091.25</v>
      </c>
      <c r="G84">
        <v>-33.97</v>
      </c>
      <c r="H84">
        <v>-531.5</v>
      </c>
      <c r="I84">
        <v>-796</v>
      </c>
      <c r="J84">
        <v>-798</v>
      </c>
      <c r="K84">
        <v>-797</v>
      </c>
    </row>
    <row r="85" spans="1:11" s="1" customFormat="1" x14ac:dyDescent="0.3">
      <c r="A85" s="6" t="s">
        <v>28</v>
      </c>
      <c r="B85">
        <v>-5.17</v>
      </c>
      <c r="C85">
        <v>14.97</v>
      </c>
      <c r="D85">
        <v>-25.34</v>
      </c>
      <c r="E85">
        <v>33.880000000000003</v>
      </c>
      <c r="F85">
        <v>35.840000000000003</v>
      </c>
      <c r="G85">
        <v>1988.42</v>
      </c>
      <c r="H85">
        <v>-816.74</v>
      </c>
      <c r="I85">
        <v>-1056</v>
      </c>
      <c r="J85">
        <v>200</v>
      </c>
      <c r="K85">
        <v>50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65</v>
      </c>
      <c r="B90">
        <v>987.25</v>
      </c>
      <c r="C90">
        <v>623.85</v>
      </c>
      <c r="D90">
        <v>1090.2</v>
      </c>
      <c r="E90">
        <v>1703.1</v>
      </c>
      <c r="F90">
        <v>1989.05</v>
      </c>
      <c r="G90">
        <v>3622.8</v>
      </c>
      <c r="H90">
        <v>4402.05</v>
      </c>
      <c r="I90">
        <v>2823.35</v>
      </c>
      <c r="J90">
        <v>3445.3</v>
      </c>
      <c r="K90">
        <v>5775.45</v>
      </c>
    </row>
    <row r="92" spans="1:11" s="1" customFormat="1" x14ac:dyDescent="0.3">
      <c r="A92" s="1" t="s">
        <v>64</v>
      </c>
    </row>
    <row r="93" spans="1:11" x14ac:dyDescent="0.3">
      <c r="A93" s="4" t="s">
        <v>77</v>
      </c>
      <c r="B93" s="20">
        <v>26.55</v>
      </c>
      <c r="C93" s="20">
        <v>26.55</v>
      </c>
      <c r="D93" s="20">
        <v>26.55</v>
      </c>
      <c r="E93" s="20">
        <v>26.55</v>
      </c>
      <c r="F93" s="20">
        <v>26.55</v>
      </c>
      <c r="G93" s="20">
        <v>26.55</v>
      </c>
      <c r="H93" s="20">
        <v>26.55</v>
      </c>
      <c r="I93" s="20">
        <v>26.55</v>
      </c>
      <c r="J93" s="20">
        <v>26.55</v>
      </c>
      <c r="K93" s="20">
        <v>26.55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Abhigyan Gupta</cp:lastModifiedBy>
  <cp:lastPrinted>2012-12-06T18:14:13Z</cp:lastPrinted>
  <dcterms:created xsi:type="dcterms:W3CDTF">2012-08-17T09:55:37Z</dcterms:created>
  <dcterms:modified xsi:type="dcterms:W3CDTF">2026-01-11T16:33:48Z</dcterms:modified>
</cp:coreProperties>
</file>